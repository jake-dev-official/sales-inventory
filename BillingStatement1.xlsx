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OYAL  COMPUTER\Desktop\"/>
    </mc:Choice>
  </mc:AlternateContent>
  <xr:revisionPtr revIDLastSave="0" documentId="13_ncr:11_{FA66DB92-E81B-44FA-8D0D-B35F9D7F88E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illing Statement" sheetId="1" r:id="rId1"/>
    <sheet name="Sheet1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2" i="2"/>
  <c r="G15" i="1"/>
  <c r="G2" i="2"/>
  <c r="C23" i="1"/>
  <c r="C22" i="1"/>
  <c r="I15" i="1" l="1"/>
  <c r="C9" i="1"/>
  <c r="C24" i="1" s="1"/>
  <c r="I16" i="1" l="1"/>
  <c r="C25" i="1" s="1"/>
</calcChain>
</file>

<file path=xl/sharedStrings.xml><?xml version="1.0" encoding="utf-8"?>
<sst xmlns="http://schemas.openxmlformats.org/spreadsheetml/2006/main" count="53" uniqueCount="48">
  <si>
    <t>Your Company Name</t>
  </si>
  <si>
    <t>Street Address</t>
  </si>
  <si>
    <t>Phone:</t>
  </si>
  <si>
    <t>(413) 555-0190</t>
  </si>
  <si>
    <t>Address 2</t>
  </si>
  <si>
    <t>Fax:</t>
  </si>
  <si>
    <t>(413) 555-0191</t>
  </si>
  <si>
    <t>City, ST  ZIP Code</t>
  </si>
  <si>
    <t>E-mail:</t>
  </si>
  <si>
    <t>someone@example.com</t>
  </si>
  <si>
    <t>Statement</t>
  </si>
  <si>
    <t>Statement #:</t>
  </si>
  <si>
    <t>Enter statement number</t>
  </si>
  <si>
    <t>Bill To:</t>
  </si>
  <si>
    <t>Name</t>
  </si>
  <si>
    <t>Date:</t>
  </si>
  <si>
    <t>Company Name</t>
  </si>
  <si>
    <t>Customer ID:</t>
  </si>
  <si>
    <t>Enter customer ID</t>
  </si>
  <si>
    <t>Date</t>
  </si>
  <si>
    <t>Type</t>
  </si>
  <si>
    <t>Invoice #</t>
  </si>
  <si>
    <t>Amount</t>
  </si>
  <si>
    <t>Payment</t>
  </si>
  <si>
    <t>Balance</t>
  </si>
  <si>
    <t>REMITTANCE</t>
  </si>
  <si>
    <t>Customer Name:</t>
  </si>
  <si>
    <t>Enter customer name</t>
  </si>
  <si>
    <t>Amount Due:</t>
  </si>
  <si>
    <t>Amount Enclosed:</t>
  </si>
  <si>
    <t xml:space="preserve"> Total </t>
  </si>
  <si>
    <r>
      <t xml:space="preserve">Reminder: </t>
    </r>
    <r>
      <rPr>
        <sz val="10"/>
        <color indexed="55"/>
        <rFont val="Gill Sans MT"/>
        <family val="2"/>
        <scheme val="minor"/>
      </rPr>
      <t>Please include the statement number on your check.</t>
    </r>
  </si>
  <si>
    <r>
      <t xml:space="preserve">Terms: </t>
    </r>
    <r>
      <rPr>
        <sz val="10"/>
        <color indexed="55"/>
        <rFont val="Gill Sans MT"/>
        <family val="2"/>
        <scheme val="minor"/>
      </rPr>
      <t>Balance due in 30 days.</t>
    </r>
  </si>
  <si>
    <t>S/N</t>
  </si>
  <si>
    <t>DATE</t>
  </si>
  <si>
    <t>ITEM NAME</t>
  </si>
  <si>
    <t>SUPPLIER</t>
  </si>
  <si>
    <t>QUANTITY</t>
  </si>
  <si>
    <t>COST PRICE</t>
  </si>
  <si>
    <t>TOTAL COST</t>
  </si>
  <si>
    <t>20/12/2024</t>
  </si>
  <si>
    <t>CEMENTS</t>
  </si>
  <si>
    <t>GHACEM</t>
  </si>
  <si>
    <t>QUANTITY LEFT</t>
  </si>
  <si>
    <t>Quantity</t>
  </si>
  <si>
    <t>SP per Item</t>
  </si>
  <si>
    <t>Address 2hh</t>
  </si>
  <si>
    <t>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</si>
</sst>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[$-409]mmmm\ d\,\ yyyy;@"/>
    <numFmt numFmtId="168" formatCode="&quot;$&quot;#,##0.00"/>
  </numFmts>
  <fonts count="13" x14ac:knownFonts="1">
    <font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10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b/>
      <sz val="10"/>
      <color indexed="55"/>
      <name val="Gill Sans MT"/>
      <family val="2"/>
      <scheme val="minor"/>
    </font>
    <font>
      <b/>
      <i/>
      <sz val="14"/>
      <color indexed="55"/>
      <name val="Gill Sans MT"/>
      <family val="2"/>
      <scheme val="minor"/>
    </font>
    <font>
      <sz val="10"/>
      <color indexed="55"/>
      <name val="Gill Sans MT"/>
      <family val="2"/>
      <scheme val="minor"/>
    </font>
    <font>
      <b/>
      <sz val="16"/>
      <color theme="1"/>
      <name val="Bookman Old Style"/>
      <family val="1"/>
      <scheme val="major"/>
    </font>
    <font>
      <b/>
      <i/>
      <sz val="11"/>
      <color indexed="55"/>
      <name val="Gill Sans MT"/>
      <family val="2"/>
      <scheme val="minor"/>
    </font>
    <font>
      <sz val="10"/>
      <color theme="1"/>
      <name val="Gill Sans MT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theme="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indexed="22"/>
      </bottom>
      <diagonal/>
    </border>
    <border>
      <left/>
      <right style="thin">
        <color theme="2"/>
      </right>
      <top/>
      <bottom style="thin">
        <color indexed="22"/>
      </bottom>
      <diagonal/>
    </border>
    <border>
      <left style="thin">
        <color theme="2"/>
      </left>
      <right/>
      <top style="thin">
        <color indexed="22"/>
      </top>
      <bottom style="thin">
        <color indexed="22"/>
      </bottom>
      <diagonal/>
    </border>
    <border>
      <left/>
      <right style="thin">
        <color theme="2"/>
      </right>
      <top style="thin">
        <color indexed="22"/>
      </top>
      <bottom style="thin">
        <color indexed="22"/>
      </bottom>
      <diagonal/>
    </border>
    <border>
      <left style="thin">
        <color theme="2"/>
      </left>
      <right/>
      <top style="thin">
        <color indexed="22"/>
      </top>
      <bottom style="thin">
        <color theme="2"/>
      </bottom>
      <diagonal/>
    </border>
    <border>
      <left/>
      <right/>
      <top style="thin">
        <color indexed="22"/>
      </top>
      <bottom style="thin">
        <color theme="2"/>
      </bottom>
      <diagonal/>
    </border>
    <border>
      <left/>
      <right style="thin">
        <color theme="2"/>
      </right>
      <top style="thin">
        <color indexed="22"/>
      </top>
      <bottom style="thin">
        <color theme="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14" fontId="3" fillId="0" borderId="0" xfId="0" applyNumberFormat="1" applyFont="1" applyBorder="1"/>
    <xf numFmtId="44" fontId="3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vertical="center"/>
    </xf>
    <xf numFmtId="44" fontId="2" fillId="0" borderId="0" xfId="0" applyNumberFormat="1" applyFont="1"/>
    <xf numFmtId="44" fontId="2" fillId="0" borderId="0" xfId="0" applyNumberFormat="1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 indent="1"/>
    </xf>
    <xf numFmtId="14" fontId="3" fillId="0" borderId="0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44" fontId="3" fillId="0" borderId="0" xfId="0" applyNumberFormat="1" applyFont="1" applyAlignment="1">
      <alignment wrapText="1"/>
    </xf>
    <xf numFmtId="44" fontId="2" fillId="0" borderId="0" xfId="0" applyNumberFormat="1" applyFont="1" applyBorder="1" applyAlignment="1">
      <alignment wrapText="1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shrinkToFit="1"/>
    </xf>
    <xf numFmtId="164" fontId="2" fillId="0" borderId="0" xfId="0" applyNumberFormat="1" applyFont="1" applyAlignment="1">
      <alignment horizontal="left"/>
    </xf>
    <xf numFmtId="0" fontId="4" fillId="2" borderId="3" xfId="0" applyFont="1" applyFill="1" applyBorder="1"/>
    <xf numFmtId="0" fontId="4" fillId="2" borderId="0" xfId="0" applyFont="1" applyFill="1" applyBorder="1"/>
    <xf numFmtId="0" fontId="4" fillId="2" borderId="4" xfId="0" applyFont="1" applyFill="1" applyBorder="1"/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/>
    <xf numFmtId="0" fontId="2" fillId="0" borderId="2" xfId="0" applyFont="1" applyBorder="1" applyAlignment="1">
      <alignment horizontal="left"/>
    </xf>
    <xf numFmtId="0" fontId="2" fillId="0" borderId="8" xfId="0" applyFont="1" applyBorder="1"/>
    <xf numFmtId="164" fontId="2" fillId="0" borderId="2" xfId="0" applyNumberFormat="1" applyFont="1" applyBorder="1" applyAlignment="1">
      <alignment horizontal="left"/>
    </xf>
    <xf numFmtId="7" fontId="2" fillId="0" borderId="2" xfId="0" applyNumberFormat="1" applyFont="1" applyBorder="1" applyAlignment="1">
      <alignment horizontal="left"/>
    </xf>
    <xf numFmtId="7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left" indent="1"/>
    </xf>
    <xf numFmtId="0" fontId="10" fillId="0" borderId="0" xfId="0" applyFont="1"/>
    <xf numFmtId="0" fontId="2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168" fontId="3" fillId="0" borderId="0" xfId="0" applyNumberFormat="1" applyFont="1" applyAlignment="1">
      <alignment wrapText="1"/>
    </xf>
    <xf numFmtId="0" fontId="11" fillId="0" borderId="0" xfId="0" applyNumberFormat="1" applyFont="1"/>
    <xf numFmtId="0" fontId="0" fillId="0" borderId="0" xfId="0" applyNumberFormat="1"/>
  </cellXfs>
  <cellStyles count="1">
    <cellStyle name="Normal" xfId="0" builtinId="0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numFmt numFmtId="19" formatCode="m/d/yyyy"/>
      <border diagonalUp="0" diagonalDown="0" outline="0">
        <left/>
        <right/>
        <top/>
        <bottom/>
      </border>
    </dxf>
    <dxf>
      <font>
        <u val="none"/>
        <vertAlign val="baseline"/>
        <name val="Gill Sans MT"/>
        <scheme val="minor"/>
      </font>
      <numFmt numFmtId="168" formatCode="&quot;$&quot;#,##0.00"/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numFmt numFmtId="2" formatCode="0.00"/>
      <alignment horizontal="general" vertical="bottom" textRotation="0" wrapText="1" indent="0" justifyLastLine="0" shrinkToFit="0" readingOrder="0"/>
    </dxf>
    <dxf>
      <font>
        <u val="none"/>
        <vertAlign val="baseline"/>
        <sz val="10"/>
        <color theme="1"/>
        <name val="Gill Sans MT"/>
        <scheme val="minor"/>
      </font>
      <numFmt numFmtId="165" formatCode="_(\$* #,##0.00_);_(\$* \(#,##0.00\);_(\$* &quot;-&quot;??_);_(@_)"/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</dxf>
    <dxf>
      <font>
        <u val="none"/>
        <vertAlign val="baseline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sz val="10"/>
        <color theme="1"/>
        <name val="Gill Sans MT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4:I16" totalsRowCount="1" headerRowDxfId="18" dataDxfId="17" totalsRowDxfId="16">
  <autoFilter ref="B14:I15" xr:uid="{00000000-0009-0000-0100-000001000000}"/>
  <tableColumns count="8">
    <tableColumn id="1" xr3:uid="{00000000-0010-0000-0000-000001000000}" name="Date" dataDxfId="15" totalsRowDxfId="7"/>
    <tableColumn id="2" xr3:uid="{00000000-0010-0000-0000-000002000000}" name="Type" dataDxfId="14" totalsRowDxfId="6"/>
    <tableColumn id="3" xr3:uid="{00000000-0010-0000-0000-000003000000}" name="Invoice #" dataDxfId="13" totalsRowDxfId="5"/>
    <tableColumn id="8" xr3:uid="{A65486B7-43C8-4FE1-A4A0-86F8BC2D6C31}" name="Quantity" dataDxfId="11" totalsRowDxfId="4"/>
    <tableColumn id="10" xr3:uid="{2B474058-C150-4D15-B7C9-4B2B053459B9}" name="SP per Item" dataDxfId="10" totalsRowDxfId="3"/>
    <tableColumn id="5" xr3:uid="{00000000-0010-0000-0000-000005000000}" name="Amount" dataDxfId="8" totalsRowDxfId="2">
      <calculatedColumnFormula>Table1[[#This Row],[SP per Item]]*Table1[[#This Row],[Quantity]]</calculatedColumnFormula>
    </tableColumn>
    <tableColumn id="6" xr3:uid="{00000000-0010-0000-0000-000006000000}" name="Payment" totalsRowLabel=" Total " dataDxfId="9" totalsRowDxfId="1"/>
    <tableColumn id="7" xr3:uid="{00000000-0010-0000-0000-000007000000}" name="Balance" totalsRowFunction="sum" dataDxfId="12" totalsRowDxfId="0">
      <calculatedColumnFormula>Table1[Amount]-Table1[Payment]</calculatedColumnFormula>
    </tableColumn>
  </tableColumns>
  <tableStyleInfo name="TableStyleMedium2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gin">
  <a:themeElements>
    <a:clrScheme name="Origin">
      <a:dk1>
        <a:sysClr val="windowText" lastClr="000000"/>
      </a:dk1>
      <a:lt1>
        <a:sysClr val="window" lastClr="FFFFFF"/>
      </a:lt1>
      <a:dk2>
        <a:srgbClr val="464653"/>
      </a:dk2>
      <a:lt2>
        <a:srgbClr val="DDE9EC"/>
      </a:lt2>
      <a:accent1>
        <a:srgbClr val="727CA3"/>
      </a:accent1>
      <a:accent2>
        <a:srgbClr val="9FB8CD"/>
      </a:accent2>
      <a:accent3>
        <a:srgbClr val="D2DA7A"/>
      </a:accent3>
      <a:accent4>
        <a:srgbClr val="FADA7A"/>
      </a:accent4>
      <a:accent5>
        <a:srgbClr val="B88472"/>
      </a:accent5>
      <a:accent6>
        <a:srgbClr val="8E736A"/>
      </a:accent6>
      <a:hlink>
        <a:srgbClr val="A599AE"/>
      </a:hlink>
      <a:folHlink>
        <a:srgbClr val="80758A"/>
      </a:folHlink>
    </a:clrScheme>
    <a:fontScheme name="Origin">
      <a:majorFont>
        <a:latin typeface="Bookman Old Style"/>
        <a:ea typeface=""/>
        <a:cs typeface=""/>
        <a:font script="Jpan" typeface="HG明朝E"/>
        <a:font script="Hang" typeface="돋움"/>
        <a:font script="Hans" typeface="宋体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Gill Sans MT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rigin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contourW="27500" prstMaterial="matte">
            <a:bevelT w="0" h="0"/>
            <a:contourClr>
              <a:schemeClr val="phClr">
                <a:tint val="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60000"/>
                <a:satMod val="300000"/>
              </a:schemeClr>
            </a:gs>
            <a:gs pos="30000">
              <a:schemeClr val="phClr">
                <a:shade val="80000"/>
                <a:satMod val="230000"/>
              </a:schemeClr>
            </a:gs>
            <a:gs pos="100000">
              <a:schemeClr val="phClr">
                <a:tint val="97000"/>
                <a:satMod val="22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atMod val="350000"/>
              </a:schemeClr>
              <a:schemeClr val="phClr">
                <a:tint val="83000"/>
              </a:schemeClr>
            </a:duotone>
          </a:blip>
          <a:tile tx="0" ty="0" sx="100000" sy="100000" flip="x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6"/>
  <sheetViews>
    <sheetView showGridLines="0" view="pageLayout" topLeftCell="A11" workbookViewId="0">
      <selection activeCell="E15" sqref="E15"/>
    </sheetView>
  </sheetViews>
  <sheetFormatPr defaultRowHeight="18" x14ac:dyDescent="0.5"/>
  <cols>
    <col min="1" max="1" width="1.109375" customWidth="1"/>
    <col min="2" max="2" width="16.21875" customWidth="1"/>
    <col min="3" max="3" width="15.6640625" customWidth="1"/>
    <col min="4" max="4" width="12.88671875" customWidth="1"/>
    <col min="5" max="5" width="20" customWidth="1"/>
    <col min="6" max="6" width="14.5546875" customWidth="1"/>
    <col min="7" max="7" width="16.21875" customWidth="1"/>
    <col min="8" max="8" width="10.6640625" customWidth="1"/>
    <col min="9" max="9" width="11.6640625" customWidth="1"/>
    <col min="10" max="10" width="12.44140625" customWidth="1"/>
  </cols>
  <sheetData>
    <row r="1" spans="2:9" ht="28.5" customHeight="1" x14ac:dyDescent="0.5">
      <c r="B1" s="10" t="s">
        <v>0</v>
      </c>
      <c r="C1" s="2"/>
      <c r="D1" s="2"/>
      <c r="E1" s="4"/>
      <c r="F1" s="4"/>
      <c r="G1" s="4"/>
      <c r="H1" s="4"/>
    </row>
    <row r="2" spans="2:9" x14ac:dyDescent="0.5">
      <c r="B2" s="39" t="s">
        <v>1</v>
      </c>
      <c r="C2" s="1"/>
      <c r="D2" s="1"/>
      <c r="E2" s="38" t="s">
        <v>2</v>
      </c>
      <c r="F2" s="19" t="s">
        <v>3</v>
      </c>
      <c r="H2" s="1"/>
    </row>
    <row r="3" spans="2:9" x14ac:dyDescent="0.5">
      <c r="B3" s="39" t="s">
        <v>4</v>
      </c>
      <c r="C3" s="1"/>
      <c r="D3" s="1"/>
      <c r="E3" s="38" t="s">
        <v>5</v>
      </c>
      <c r="F3" s="19" t="s">
        <v>6</v>
      </c>
      <c r="H3" s="1"/>
    </row>
    <row r="4" spans="2:9" x14ac:dyDescent="0.5">
      <c r="B4" s="39" t="s">
        <v>7</v>
      </c>
      <c r="C4" s="1"/>
      <c r="D4" s="1"/>
      <c r="E4" s="38" t="s">
        <v>8</v>
      </c>
      <c r="F4" s="1" t="s">
        <v>9</v>
      </c>
      <c r="G4" s="40"/>
      <c r="H4" s="1"/>
    </row>
    <row r="5" spans="2:9" x14ac:dyDescent="0.5">
      <c r="B5" s="1"/>
      <c r="C5" s="1"/>
      <c r="D5" s="1"/>
      <c r="E5" s="1"/>
      <c r="F5" s="20"/>
      <c r="G5" s="1"/>
      <c r="H5" s="1"/>
    </row>
    <row r="6" spans="2:9" ht="21.6" x14ac:dyDescent="0.55000000000000004">
      <c r="B6" s="5" t="s">
        <v>10</v>
      </c>
      <c r="C6" s="1"/>
      <c r="D6" s="1"/>
      <c r="E6" s="1"/>
      <c r="F6" s="20"/>
      <c r="G6" s="1"/>
      <c r="H6" s="1"/>
    </row>
    <row r="7" spans="2:9" x14ac:dyDescent="0.5">
      <c r="B7" s="1"/>
      <c r="C7" s="1"/>
      <c r="D7" s="1"/>
      <c r="E7" s="1"/>
      <c r="F7" s="20"/>
      <c r="G7" s="1"/>
      <c r="H7" s="1"/>
    </row>
    <row r="8" spans="2:9" x14ac:dyDescent="0.5">
      <c r="B8" s="38" t="s">
        <v>11</v>
      </c>
      <c r="C8" s="21" t="s">
        <v>12</v>
      </c>
      <c r="D8" s="13"/>
      <c r="E8" s="38" t="s">
        <v>13</v>
      </c>
      <c r="F8" s="21" t="s">
        <v>14</v>
      </c>
      <c r="H8" s="22"/>
    </row>
    <row r="9" spans="2:9" x14ac:dyDescent="0.5">
      <c r="B9" s="38" t="s">
        <v>15</v>
      </c>
      <c r="C9" s="23">
        <f ca="1">TODAY()</f>
        <v>45995</v>
      </c>
      <c r="D9" s="14"/>
      <c r="E9" s="1"/>
      <c r="F9" s="21" t="s">
        <v>16</v>
      </c>
      <c r="H9" s="22"/>
    </row>
    <row r="10" spans="2:9" x14ac:dyDescent="0.5">
      <c r="B10" s="38" t="s">
        <v>17</v>
      </c>
      <c r="C10" s="21" t="s">
        <v>18</v>
      </c>
      <c r="D10" s="13"/>
      <c r="E10" s="1"/>
      <c r="F10" s="21" t="s">
        <v>1</v>
      </c>
      <c r="H10" s="22"/>
    </row>
    <row r="11" spans="2:9" x14ac:dyDescent="0.5">
      <c r="B11" s="1"/>
      <c r="C11" s="1"/>
      <c r="D11" s="1"/>
      <c r="E11" s="1"/>
      <c r="F11" s="21" t="s">
        <v>46</v>
      </c>
      <c r="H11" s="22"/>
    </row>
    <row r="12" spans="2:9" x14ac:dyDescent="0.5">
      <c r="B12" s="1"/>
      <c r="C12" s="1"/>
      <c r="D12" s="1"/>
      <c r="E12" s="1"/>
      <c r="F12" s="21" t="s">
        <v>7</v>
      </c>
      <c r="H12" s="22"/>
    </row>
    <row r="13" spans="2:9" x14ac:dyDescent="0.5">
      <c r="B13" s="4"/>
      <c r="C13" s="4"/>
      <c r="D13" s="4"/>
      <c r="E13" s="4"/>
      <c r="F13" s="4"/>
      <c r="G13" s="4"/>
      <c r="H13" s="4"/>
    </row>
    <row r="14" spans="2:9" x14ac:dyDescent="0.5">
      <c r="B14" s="41" t="s">
        <v>19</v>
      </c>
      <c r="C14" s="41" t="s">
        <v>20</v>
      </c>
      <c r="D14" s="41" t="s">
        <v>21</v>
      </c>
      <c r="E14" s="41" t="s">
        <v>44</v>
      </c>
      <c r="F14" s="41" t="s">
        <v>45</v>
      </c>
      <c r="G14" s="41" t="s">
        <v>22</v>
      </c>
      <c r="H14" s="41" t="s">
        <v>23</v>
      </c>
      <c r="I14" s="41" t="s">
        <v>24</v>
      </c>
    </row>
    <row r="15" spans="2:9" x14ac:dyDescent="0.5">
      <c r="B15" s="15"/>
      <c r="C15" s="45" t="s">
        <v>47</v>
      </c>
      <c r="D15" s="16"/>
      <c r="E15" s="46">
        <v>200</v>
      </c>
      <c r="F15" s="46">
        <v>100</v>
      </c>
      <c r="G15" s="47">
        <f>Table1[[#This Row],[SP per Item]]*Table1[[#This Row],[Quantity]]</f>
        <v>20000</v>
      </c>
      <c r="H15" s="17">
        <v>1000</v>
      </c>
      <c r="I15" s="18">
        <f>Table1[Amount]-Table1[Payment]</f>
        <v>19000</v>
      </c>
    </row>
    <row r="16" spans="2:9" x14ac:dyDescent="0.5">
      <c r="B16" s="6"/>
      <c r="C16" s="4"/>
      <c r="D16" s="4"/>
      <c r="E16" s="44"/>
      <c r="F16" s="44"/>
      <c r="G16" s="7"/>
      <c r="H16" s="11" t="s">
        <v>30</v>
      </c>
      <c r="I16" s="12">
        <f>SUBTOTAL(109,Table1[Balance])</f>
        <v>19000</v>
      </c>
    </row>
    <row r="17" spans="2:8" x14ac:dyDescent="0.5">
      <c r="B17" s="3" t="s">
        <v>31</v>
      </c>
      <c r="C17" s="8"/>
      <c r="D17" s="9"/>
      <c r="E17" s="9"/>
      <c r="F17" s="1"/>
      <c r="G17" s="4"/>
      <c r="H17" s="4"/>
    </row>
    <row r="18" spans="2:8" x14ac:dyDescent="0.5">
      <c r="B18" s="3" t="s">
        <v>32</v>
      </c>
      <c r="C18" s="8"/>
      <c r="D18" s="1"/>
      <c r="E18" s="1"/>
      <c r="F18" s="1"/>
      <c r="G18" s="4"/>
      <c r="H18" s="4"/>
    </row>
    <row r="19" spans="2:8" x14ac:dyDescent="0.5">
      <c r="B19" s="1"/>
      <c r="C19" s="1"/>
      <c r="D19" s="1"/>
      <c r="E19" s="1"/>
      <c r="F19" s="1"/>
      <c r="G19" s="4"/>
      <c r="H19" s="4"/>
    </row>
    <row r="20" spans="2:8" x14ac:dyDescent="0.5">
      <c r="B20" s="24" t="s">
        <v>25</v>
      </c>
      <c r="C20" s="25"/>
      <c r="D20" s="25"/>
      <c r="E20" s="26"/>
      <c r="F20" s="1"/>
      <c r="G20" s="4"/>
      <c r="H20" s="4"/>
    </row>
    <row r="21" spans="2:8" x14ac:dyDescent="0.5">
      <c r="B21" s="27" t="s">
        <v>26</v>
      </c>
      <c r="C21" s="30" t="s">
        <v>27</v>
      </c>
      <c r="D21" s="30"/>
      <c r="E21" s="31"/>
      <c r="F21" s="1"/>
      <c r="G21" s="4"/>
      <c r="H21" s="4"/>
    </row>
    <row r="22" spans="2:8" x14ac:dyDescent="0.5">
      <c r="B22" s="27" t="s">
        <v>17</v>
      </c>
      <c r="C22" s="30" t="str">
        <f>C10</f>
        <v>Enter customer ID</v>
      </c>
      <c r="D22" s="30"/>
      <c r="E22" s="31"/>
      <c r="F22" s="1"/>
      <c r="G22" s="4"/>
      <c r="H22" s="4"/>
    </row>
    <row r="23" spans="2:8" x14ac:dyDescent="0.5">
      <c r="B23" s="28" t="s">
        <v>11</v>
      </c>
      <c r="C23" s="32" t="str">
        <f>C8</f>
        <v>Enter statement number</v>
      </c>
      <c r="D23" s="32"/>
      <c r="E23" s="33"/>
      <c r="F23" s="1"/>
      <c r="G23" s="4"/>
      <c r="H23" s="4"/>
    </row>
    <row r="24" spans="2:8" x14ac:dyDescent="0.5">
      <c r="B24" s="28" t="s">
        <v>15</v>
      </c>
      <c r="C24" s="34">
        <f ca="1">C9</f>
        <v>45995</v>
      </c>
      <c r="D24" s="34"/>
      <c r="E24" s="33"/>
      <c r="F24" s="1"/>
      <c r="G24" s="4"/>
      <c r="H24" s="4"/>
    </row>
    <row r="25" spans="2:8" x14ac:dyDescent="0.5">
      <c r="B25" s="28" t="s">
        <v>28</v>
      </c>
      <c r="C25" s="35">
        <f>Table1[[#Totals],[Balance]]</f>
        <v>19000</v>
      </c>
      <c r="D25" s="35"/>
      <c r="E25" s="33"/>
      <c r="F25" s="1"/>
      <c r="G25" s="4"/>
      <c r="H25" s="4"/>
    </row>
    <row r="26" spans="2:8" x14ac:dyDescent="0.5">
      <c r="B26" s="29" t="s">
        <v>29</v>
      </c>
      <c r="C26" s="36"/>
      <c r="D26" s="36"/>
      <c r="E26" s="37"/>
      <c r="F26" s="1"/>
      <c r="G26" s="4"/>
      <c r="H26" s="4"/>
    </row>
  </sheetData>
  <printOptions horizontalCentered="1"/>
  <pageMargins left="0.5" right="0.5" top="0.5" bottom="0.5" header="0.25" footer="0.25"/>
  <pageSetup scale="82" fitToHeight="0" orientation="portrait" horizontalDpi="4294967294" r:id="rId1"/>
  <headerFooter>
    <oddHeader xml:space="preserve">&amp;L&amp;K000000
</oddHeader>
    <oddFooter>&amp;C&amp;10Page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652A-FAF7-40EF-9908-6ACFD1C82C53}">
  <dimension ref="A1:N3"/>
  <sheetViews>
    <sheetView tabSelected="1" workbookViewId="0">
      <selection activeCell="H3" sqref="H3"/>
    </sheetView>
  </sheetViews>
  <sheetFormatPr defaultRowHeight="18" x14ac:dyDescent="0.5"/>
  <cols>
    <col min="1" max="1" width="6.44140625" bestFit="1" customWidth="1"/>
    <col min="2" max="2" width="10.109375" bestFit="1" customWidth="1"/>
    <col min="3" max="3" width="19.44140625" bestFit="1" customWidth="1"/>
    <col min="4" max="4" width="16.33203125" bestFit="1" customWidth="1"/>
    <col min="5" max="5" width="18.77734375" style="49" bestFit="1" customWidth="1"/>
    <col min="6" max="6" width="20.44140625" bestFit="1" customWidth="1"/>
    <col min="7" max="7" width="22.44140625" bestFit="1" customWidth="1"/>
    <col min="8" max="8" width="30" bestFit="1" customWidth="1"/>
  </cols>
  <sheetData>
    <row r="1" spans="1:14" s="43" customFormat="1" ht="21" x14ac:dyDescent="0.4">
      <c r="A1" s="42" t="s">
        <v>33</v>
      </c>
      <c r="B1" s="42" t="s">
        <v>34</v>
      </c>
      <c r="C1" s="42" t="s">
        <v>35</v>
      </c>
      <c r="D1" s="42" t="s">
        <v>36</v>
      </c>
      <c r="E1" s="48" t="s">
        <v>37</v>
      </c>
      <c r="F1" s="42" t="s">
        <v>38</v>
      </c>
      <c r="G1" s="42" t="s">
        <v>39</v>
      </c>
      <c r="H1" s="42" t="s">
        <v>43</v>
      </c>
      <c r="I1" s="42"/>
      <c r="J1" s="42"/>
      <c r="K1" s="42"/>
      <c r="L1" s="42"/>
      <c r="M1" s="42"/>
      <c r="N1" s="42"/>
    </row>
    <row r="2" spans="1:14" x14ac:dyDescent="0.5">
      <c r="A2">
        <v>1</v>
      </c>
      <c r="B2" t="s">
        <v>40</v>
      </c>
      <c r="C2" t="s">
        <v>41</v>
      </c>
      <c r="D2" t="s">
        <v>42</v>
      </c>
      <c r="E2" s="49">
        <v>1000</v>
      </c>
      <c r="F2">
        <v>80</v>
      </c>
      <c r="G2">
        <f>E2*F2</f>
        <v>80000</v>
      </c>
      <c r="H2" s="49">
        <f>(E2-'Billing Statement'!E15)</f>
        <v>800</v>
      </c>
    </row>
    <row r="3" spans="1:14" x14ac:dyDescent="0.5">
      <c r="E3" s="49">
        <v>800</v>
      </c>
      <c r="H3" s="49">
        <f>(E3-'Billing Statement'!E16)</f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 Statement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  COMPUTER</dc:creator>
  <cp:lastModifiedBy>ROYAL  COMPUTER</cp:lastModifiedBy>
  <dcterms:created xsi:type="dcterms:W3CDTF">2006-09-15T19:15:53Z</dcterms:created>
  <dcterms:modified xsi:type="dcterms:W3CDTF">2025-12-05T00:32:00Z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